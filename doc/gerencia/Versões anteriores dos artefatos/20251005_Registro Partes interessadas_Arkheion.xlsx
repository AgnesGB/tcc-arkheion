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PartesInteressadas" sheetId="2" r:id="rId5"/>
    <sheet state="visible" name="Gráfico" sheetId="3" r:id="rId6"/>
    <sheet state="visible" name="Param" sheetId="4" r:id="rId7"/>
  </sheets>
  <definedNames>
    <definedName name="A">{"'TG'!$A$1:$L$37"}</definedName>
    <definedName name="AS">{"'TG'!$A$1:$L$37"}</definedName>
    <definedName name="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Interna">Param!#REF!</definedName>
    <definedName name="t">{"'TG'!$A$1:$L$37"}</definedName>
    <definedName name="Interesse">Param!$F$5:$F$9</definedName>
    <definedName name="Poder">Param!$E$5:$E$9</definedName>
  </definedNames>
  <calcPr/>
  <extLst>
    <ext uri="GoogleSheetsCustomDataVersion2">
      <go:sheetsCustomData xmlns:go="http://customooxmlschemas.google.com/" r:id="rId8" roundtripDataChecksum="LRMts/o0YTQaV7/5W8yPKkxD6D4QkM9G3Xl0ZuUvxuk="/>
    </ext>
  </extLst>
</workbook>
</file>

<file path=xl/sharedStrings.xml><?xml version="1.0" encoding="utf-8"?>
<sst xmlns="http://schemas.openxmlformats.org/spreadsheetml/2006/main" count="137" uniqueCount="96">
  <si>
    <t>Registro das partes interessadas</t>
  </si>
  <si>
    <t>Projeto Arkheion</t>
  </si>
  <si>
    <t>Instruções</t>
  </si>
  <si>
    <t>Instruções, Histórico de Alterações e as Aprovações</t>
  </si>
  <si>
    <t>Partes interessadas</t>
  </si>
  <si>
    <t>Dados de contato e informações das partes interessadas</t>
  </si>
  <si>
    <t>Paramêtros</t>
  </si>
  <si>
    <t>Parâmetros usados na planilha.</t>
  </si>
  <si>
    <t>Objetivo:</t>
  </si>
  <si>
    <t>Identificar as partes interessadas</t>
  </si>
  <si>
    <t>Ref.</t>
  </si>
  <si>
    <t>Passos</t>
  </si>
  <si>
    <t>Aba</t>
  </si>
  <si>
    <t>Comentários</t>
  </si>
  <si>
    <t>Incluir as partes interessadas identificados na coluna Parte interessada</t>
  </si>
  <si>
    <t>Partes Interessadas</t>
  </si>
  <si>
    <t>Incluir as demais informações sobre as partes interessadas. Caso tenha alguma dúvida sobre a coluna, consulte a Aba Param</t>
  </si>
  <si>
    <t>Controle de Versões</t>
  </si>
  <si>
    <t>Versão</t>
  </si>
  <si>
    <t>Data</t>
  </si>
  <si>
    <t>Autor</t>
  </si>
  <si>
    <t>Notas da Revisão</t>
  </si>
  <si>
    <t>1.0</t>
  </si>
  <si>
    <t>Lucas Pinheiro da Costa</t>
  </si>
  <si>
    <t>Aprovações</t>
  </si>
  <si>
    <t>Participante</t>
  </si>
  <si>
    <t>Assinatura</t>
  </si>
  <si>
    <t>Identificação</t>
  </si>
  <si>
    <t>Avaliação</t>
  </si>
  <si>
    <t>Cód.</t>
  </si>
  <si>
    <t>Importância</t>
  </si>
  <si>
    <t>Parte interessada</t>
  </si>
  <si>
    <t>e-mail</t>
  </si>
  <si>
    <t>Celular</t>
  </si>
  <si>
    <t>Fone</t>
  </si>
  <si>
    <t>Empresa</t>
  </si>
  <si>
    <t>Função</t>
  </si>
  <si>
    <t>Principais responsabilidades</t>
  </si>
  <si>
    <t>Principais interesses / expectativas</t>
  </si>
  <si>
    <t>Poder na empresa</t>
  </si>
  <si>
    <t>Interesse no projeto</t>
  </si>
  <si>
    <t>Estratégias para ganhar mais suporte ou reduzir resistências</t>
  </si>
  <si>
    <t>Cliente / Product Owner</t>
  </si>
  <si>
    <t>alan.glei@ifrn.edu.br</t>
  </si>
  <si>
    <t>-</t>
  </si>
  <si>
    <t>IFRN</t>
  </si>
  <si>
    <t>Professor acadêmico</t>
  </si>
  <si>
    <t>As principais responsabilidades do Cliente / Product Owner são ser o principal idealizador da solução, definir os requisitos e funcionalidades do sistema. Além disso, ele controla o escopo do projeto, valida as entregas ao final de cada ciclo de desenvolvimento e tem a palavra final sobre as funcionalidades que serão implementadas.</t>
  </si>
  <si>
    <t>O interesse primordial dele é receber um produto funcional que resolva o problema de gerenciamento de fichas de RPG. Suas necessidades essenciais incluem a entrega das funcionalidades principais, a estabilidade do sistema e a conclusão do projeto dentro do prazo acadêmico. Como desejos, ele espera uma interface com design profissional, a inclusão de funcionalidades extras que agreguem valor e que o sistema seja bem recebido pela comunidade de jogadores.</t>
  </si>
  <si>
    <t>5-Muito Alto</t>
  </si>
  <si>
    <t>Para manter seu engajamento e garantir o suporte, as estratégias definidas são: apresentar o progresso de forma tangível por meio de demonstrações ao final de cada ciclo (Sprint Review) ; manter a visão alinhada com o uso de um backlog de produto visível e priorizado ; e garantir seu envolvimento contínuo, convidando-o para participar ativamente das reuniões de planejamento (Sprint Planning). A comunicação diária para dúvidas pontuais também é uma tática a ser utilizada.</t>
  </si>
  <si>
    <t>O Cliente / Product Owner é considerado um stakeholder crítico. Por essa razão, o alinhamento contínuo com ele é apontado como um fator fundamental para o sucesso do projeto Arkheion.</t>
  </si>
  <si>
    <t>Professores avaliadores</t>
  </si>
  <si>
    <t>Professores acadêmicos</t>
  </si>
  <si>
    <t>As principais responsabilidades dos professores avaliadores são definir os critérios de avaliação e os prazos do projeto. Eles também são encarregados de atribuir a nota final, avaliando como a equipe aplicou os conceitos teóricos das disciplinas na prática.</t>
  </si>
  <si>
    <t>O interesse central dos professores é avaliar a aplicação prática dos conceitos ensinados nas disciplinas pela equipe. Suas necessidades essenciais incluem que o projeto seja entregue no prazo final , que os artefatos do sistema sejam entregues para avaliação , e que uma apresentação final demonstre o aprendizado e o profissionalismo da equipe. Como desejos, esperam um projeto que exceda os requisitos mínimos e uma documentação de alta qualidade e bem estruturada.</t>
  </si>
  <si>
    <t>4-Alto</t>
  </si>
  <si>
    <t>As estratégias para engajá-los e garantir seu suporte são focadas em demonstrar profissionalismo e aprendizado. Isso inclui não apenas mostrar o sistema funcionando durante as apresentações, mas destacar como as metodologias foram aplicadas para alcançar os resultados. Além disso, é crucial cumprir rigorosamente todos os prazos de entrega de documentação e marcos do projeto.</t>
  </si>
  <si>
    <t>A aprovação dos professores é o principal critério de sucesso acadêmico para o projeto. Portanto, é fundamental que todas as entregas realizadas pela equipe atendam integralmente aos requisitos definidos por eles.</t>
  </si>
  <si>
    <t>Usuários finais (mestres e jogadores)</t>
  </si>
  <si>
    <t>Jogadores</t>
  </si>
  <si>
    <t>O papel deles no projeto é o de potenciais consumidores do sistema, cujo feedback e aceitação validam a utilidade e a qualidade do produto final.</t>
  </si>
  <si>
    <t>O principal interesse dos usuários finais é ter uma plataforma intuitiva e funcional para simplificar a criação, o gerenciamento e a participação em mesas de RPG. Suas necessidades essenciais são que o sistema seja fácil de usar, mais prático que métodos manuais, preciso em relação às regras do jogo e confiável para não perder os dados dos personagens. Seus desejos incluem um design responsivo para uso em celulares, ferramentas de automação e opções de personalização.</t>
  </si>
  <si>
    <t>3-Médio</t>
  </si>
  <si>
    <t xml:space="preserve">As estratégias para engajá-los são focadas na coleta de feedback e na criação de um senso de comunidade. Isso inclui convidá-los para sessões de teste de usabilidade, criar um canal de comunicação (como Discord ou WhatsApp) para apresentar novidades e capturar ideias, e implementar as sugestões recebidas, comunicando aos usuários que suas opiniões foram ouvidas e valorizadas.
</t>
  </si>
  <si>
    <t>É crucial que os usuários finais sejam considerados durante todo o processo de desenvolvimento. Isso garante que a usabilidade e as funcionalidades implementadas sejam, de fato, úteis na prática, o que, por fim, valida o sucesso do projeto do ponto de vista do produto.</t>
  </si>
  <si>
    <t>Equipe de desenvolvimento (Devs e Scrum Master)</t>
  </si>
  <si>
    <t>Alunos e desenvolvedores</t>
  </si>
  <si>
    <t>A equipe de desenvolvimento é responsável pela execução técnica do projeto, pela qualidade do código e pelo cumprimento dos prazos estabelecidos. Consequentemente, o resultado do seu trabalho impacta diretamente a nota obtida na disciplina.</t>
  </si>
  <si>
    <t>O principal interesse da equipe é obter a aprovação na disciplina, o que requer um ambiente de trabalho colaborativo e requisitos claros e estáveis por parte do Product Owner. Além da aprovação, seus desejos incluem receber uma nota alta, ter a oportunidade de aprender e aplicar novas tecnologias, e criar um sistema que possa ser adicionado ao seu portfólio profissional.</t>
  </si>
  <si>
    <t>As estratégias para manter a equipe engajada e produtiva incluem: definir papéis e responsabilidades de forma clara para evitar conflitos ; celebrar as conquistas ao final de cada ciclo para reconhecer o esforço ; e a atuação proativa do Scrum Master para remover quaisquer impedimentos que estejam bloqueando o progresso da equipe.</t>
  </si>
  <si>
    <t>A comunicação e o engajamento da equipe de desenvolvimento são considerados essenciais para a entrega de valor do projeto e para a superação de desafios técnicos que possam surgir.</t>
  </si>
  <si>
    <t>Criadores do Jogo (Autores e Editora de Tormenta 20)</t>
  </si>
  <si>
    <t>Editora Jambo</t>
  </si>
  <si>
    <t>Criadores de conteúdo</t>
  </si>
  <si>
    <t>Os criadores do jogo não possuem responsabilidades diretas no projeto Arkheion, uma vez que são uma parte interessada externa.</t>
  </si>
  <si>
    <t>O principal interesse dos criadores é a proteção de sua marca e do conteúdo original. Suas necessidades essenciais são que o projeto não tenha fins comerciais , que receba os devidos créditos como criador do material original , e que a ferramenta não infrinja suas políticas de propriedade intelectual ou prejudique a imagem da marca.</t>
  </si>
  <si>
    <t>2-Baixo</t>
  </si>
  <si>
    <t>As estratégias para mantê-los satisfeitos são de natureza preventiva e baseadas no respeito à sua criação. As principais ações são: atribuir os devidos créditos de forma clara e visível no sistema e posicionar explicitamente o projeto Arkheion como uma ferramenta de fã, não oficial, sem fins lucrativos e de propósito acadêmico.</t>
  </si>
  <si>
    <t>É crucial mitigar quaisquer riscos legais associados à propriedade intelectual. Para isso, o projeto deve garantir que está posicionado claramente como uma ferramenta não-oficial feita por fãs e que todos os créditos aos criadores originais sejam devidamente atribuídos.</t>
  </si>
  <si>
    <t>Matriz de Poder x Interesse</t>
  </si>
  <si>
    <t>Matriz de Influência x Impacto x Poder x Interesse</t>
  </si>
  <si>
    <t>Outro exemplo de matriz</t>
  </si>
  <si>
    <t>Poder</t>
  </si>
  <si>
    <t>Influência</t>
  </si>
  <si>
    <t>Interesse</t>
  </si>
  <si>
    <t>Impacto</t>
  </si>
  <si>
    <t>Aba Partes interessadas</t>
  </si>
  <si>
    <t>Legenda</t>
  </si>
  <si>
    <t>Definição</t>
  </si>
  <si>
    <t>Pessoa, comunidade ou organização envolvida cujos interesses podem ser afetados pelo projeto. Exercem influência sobre o projeto, suas entregas e sua equipe</t>
  </si>
  <si>
    <t>Poder x Interesse</t>
  </si>
  <si>
    <t>Nível de autoridade;
Posição hierárquica ou de carisma ou liderança pessoal</t>
  </si>
  <si>
    <t>Nível de preocupação em relação aos resultados do projeto</t>
  </si>
  <si>
    <t>Domínio</t>
  </si>
  <si>
    <t>1-Muito baixo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</si>
</sst>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m/yyyy"/>
  </numFmts>
  <fonts count="20">
    <font>
      <sz val="10.0"/>
      <color rgb="FF000000"/>
      <name val="Arial"/>
      <scheme val="minor"/>
    </font>
    <font>
      <b/>
      <sz val="12.0"/>
      <color rgb="FF808080"/>
      <name val="Calibri"/>
    </font>
    <font>
      <sz val="12.0"/>
      <color rgb="FF808080"/>
      <name val="Calibri"/>
    </font>
    <font>
      <b/>
      <i/>
      <sz val="16.0"/>
      <color rgb="FFFFFFFF"/>
      <name val="Cambria"/>
    </font>
    <font>
      <sz val="16.0"/>
      <color rgb="FFFFFFFF"/>
      <name val="Calibri"/>
    </font>
    <font>
      <sz val="12.0"/>
      <color theme="0"/>
      <name val="Calibri"/>
    </font>
    <font>
      <sz val="12.0"/>
      <color theme="1"/>
      <name val="Calibri"/>
    </font>
    <font>
      <sz val="14.0"/>
      <color rgb="FF808080"/>
      <name val="Calibri"/>
    </font>
    <font>
      <b/>
      <i/>
      <sz val="14.0"/>
      <color theme="0"/>
      <name val="Calibri"/>
    </font>
    <font>
      <b/>
      <u/>
      <sz val="18.0"/>
      <color rgb="FF1F497D"/>
      <name val="Cambria"/>
    </font>
    <font>
      <sz val="10.0"/>
      <color theme="1"/>
      <name val="Arial"/>
    </font>
    <font>
      <i/>
      <sz val="14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theme="0"/>
      <name val="Calibri"/>
    </font>
    <font>
      <u/>
      <sz val="10.0"/>
      <color theme="10"/>
      <name val="Arial"/>
    </font>
    <font>
      <sz val="12.0"/>
      <color rgb="FF000000"/>
      <name val="Calibri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</fills>
  <borders count="24">
    <border/>
    <border>
      <left/>
      <right/>
      <top/>
      <bottom/>
    </border>
    <border>
      <left/>
      <right/>
      <top/>
      <bottom style="thin">
        <color rgb="FFEEECE1"/>
      </bottom>
    </border>
    <border>
      <bottom style="thin">
        <color rgb="FFEEECE1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left" vertical="center"/>
    </xf>
    <xf borderId="1" fillId="2" fontId="4" numFmtId="0" xfId="0" applyAlignment="1" applyBorder="1" applyFont="1">
      <alignment vertical="center"/>
    </xf>
    <xf borderId="1" fillId="2" fontId="3" numFmtId="0" xfId="0" applyAlignment="1" applyBorder="1" applyFont="1">
      <alignment horizontal="right" readingOrder="0" vertical="center"/>
    </xf>
    <xf borderId="1" fillId="3" fontId="2" numFmtId="0" xfId="0" applyAlignment="1" applyBorder="1" applyFill="1" applyFont="1">
      <alignment horizontal="center"/>
    </xf>
    <xf borderId="1" fillId="4" fontId="5" numFmtId="0" xfId="0" applyAlignment="1" applyBorder="1" applyFill="1" applyFont="1">
      <alignment horizontal="center"/>
    </xf>
    <xf borderId="0" fillId="0" fontId="6" numFmtId="0" xfId="0" applyFont="1"/>
    <xf borderId="0" fillId="0" fontId="7" numFmtId="0" xfId="0" applyFont="1"/>
    <xf borderId="1" fillId="3" fontId="7" numFmtId="0" xfId="0" applyAlignment="1" applyBorder="1" applyFont="1">
      <alignment horizontal="center"/>
    </xf>
    <xf borderId="1" fillId="4" fontId="8" numFmtId="0" xfId="0" applyAlignment="1" applyBorder="1" applyFont="1">
      <alignment horizontal="center" vertical="center"/>
    </xf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2" fillId="3" fontId="2" numFmtId="0" xfId="0" applyAlignment="1" applyBorder="1" applyFont="1">
      <alignment horizontal="center"/>
    </xf>
    <xf borderId="2" fillId="4" fontId="5" numFmtId="0" xfId="0" applyAlignment="1" applyBorder="1" applyFont="1">
      <alignment horizontal="center"/>
    </xf>
    <xf borderId="3" fillId="0" fontId="6" numFmtId="0" xfId="0" applyBorder="1" applyFont="1"/>
    <xf borderId="0" fillId="0" fontId="13" numFmtId="0" xfId="0" applyFont="1"/>
    <xf borderId="0" fillId="0" fontId="14" numFmtId="0" xfId="0" applyAlignment="1" applyFont="1">
      <alignment horizontal="left"/>
    </xf>
    <xf borderId="4" fillId="0" fontId="13" numFmtId="0" xfId="0" applyAlignment="1" applyBorder="1" applyFont="1">
      <alignment horizontal="center"/>
    </xf>
    <xf borderId="4" fillId="0" fontId="15" numFmtId="0" xfId="0" applyBorder="1" applyFont="1"/>
    <xf borderId="0" fillId="0" fontId="14" numFmtId="0" xfId="0" applyFont="1"/>
    <xf borderId="5" fillId="2" fontId="16" numFmtId="0" xfId="0" applyAlignment="1" applyBorder="1" applyFont="1">
      <alignment horizontal="center" shrinkToFit="0" wrapText="1"/>
    </xf>
    <xf borderId="6" fillId="2" fontId="16" numFmtId="0" xfId="0" applyAlignment="1" applyBorder="1" applyFont="1">
      <alignment horizontal="center" shrinkToFit="0" wrapText="1"/>
    </xf>
    <xf borderId="7" fillId="0" fontId="15" numFmtId="0" xfId="0" applyBorder="1" applyFont="1"/>
    <xf borderId="8" fillId="0" fontId="15" numFmtId="0" xfId="0" applyBorder="1" applyFont="1"/>
    <xf borderId="6" fillId="2" fontId="16" numFmtId="0" xfId="0" applyAlignment="1" applyBorder="1" applyFont="1">
      <alignment horizontal="left" shrinkToFit="0" wrapText="1"/>
    </xf>
    <xf borderId="6" fillId="0" fontId="13" numFmtId="0" xfId="0" applyBorder="1" applyFont="1"/>
    <xf borderId="6" fillId="0" fontId="13" numFmtId="0" xfId="0" applyAlignment="1" applyBorder="1" applyFont="1">
      <alignment shrinkToFit="0" wrapText="1"/>
    </xf>
    <xf borderId="6" fillId="0" fontId="17" numFmtId="0" xfId="0" applyAlignment="1" applyBorder="1" applyFont="1">
      <alignment shrinkToFit="0" wrapText="1"/>
    </xf>
    <xf borderId="6" fillId="0" fontId="13" numFmtId="0" xfId="0" applyAlignment="1" applyBorder="1" applyFont="1">
      <alignment horizontal="left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left"/>
    </xf>
    <xf borderId="9" fillId="2" fontId="3" numFmtId="0" xfId="0" applyAlignment="1" applyBorder="1" applyFont="1">
      <alignment horizontal="center" vertical="center"/>
    </xf>
    <xf borderId="10" fillId="0" fontId="15" numFmtId="0" xfId="0" applyBorder="1" applyFont="1"/>
    <xf borderId="11" fillId="2" fontId="16" numFmtId="0" xfId="0" applyAlignment="1" applyBorder="1" applyFont="1">
      <alignment horizontal="center"/>
    </xf>
    <xf borderId="6" fillId="2" fontId="16" numFmtId="0" xfId="0" applyBorder="1" applyFont="1"/>
    <xf borderId="11" fillId="0" fontId="18" numFmtId="0" xfId="0" applyAlignment="1" applyBorder="1" applyFont="1">
      <alignment horizontal="center" readingOrder="0"/>
    </xf>
    <xf borderId="11" fillId="0" fontId="18" numFmtId="164" xfId="0" applyAlignment="1" applyBorder="1" applyFont="1" applyNumberFormat="1">
      <alignment horizontal="center" readingOrder="0"/>
    </xf>
    <xf borderId="11" fillId="0" fontId="18" numFmtId="0" xfId="0" applyAlignment="1" applyBorder="1" applyFont="1">
      <alignment readingOrder="0"/>
    </xf>
    <xf borderId="6" fillId="0" fontId="18" numFmtId="0" xfId="0" applyBorder="1" applyFont="1"/>
    <xf borderId="11" fillId="0" fontId="18" numFmtId="0" xfId="0" applyAlignment="1" applyBorder="1" applyFont="1">
      <alignment horizontal="center"/>
    </xf>
    <xf borderId="11" fillId="0" fontId="18" numFmtId="0" xfId="0" applyBorder="1" applyFont="1"/>
    <xf borderId="0" fillId="0" fontId="19" numFmtId="0" xfId="0" applyAlignment="1" applyFont="1">
      <alignment horizontal="left"/>
    </xf>
    <xf borderId="0" fillId="0" fontId="14" numFmtId="165" xfId="0" applyFont="1" applyNumberFormat="1"/>
    <xf borderId="6" fillId="2" fontId="16" numFmtId="0" xfId="0" applyAlignment="1" applyBorder="1" applyFont="1">
      <alignment horizontal="center"/>
    </xf>
    <xf borderId="12" fillId="2" fontId="16" numFmtId="0" xfId="0" applyAlignment="1" applyBorder="1" applyFont="1">
      <alignment horizontal="center"/>
    </xf>
    <xf borderId="0" fillId="0" fontId="14" numFmtId="165" xfId="0" applyAlignment="1" applyFont="1" applyNumberFormat="1">
      <alignment horizontal="right"/>
    </xf>
    <xf borderId="0" fillId="0" fontId="13" numFmtId="0" xfId="0" applyAlignment="1" applyFont="1">
      <alignment vertical="center"/>
    </xf>
    <xf borderId="11" fillId="2" fontId="16" numFmtId="0" xfId="0" applyAlignment="1" applyBorder="1" applyFont="1">
      <alignment horizontal="center" shrinkToFit="0" vertical="center" wrapText="1"/>
    </xf>
    <xf borderId="11" fillId="2" fontId="16" numFmtId="0" xfId="0" applyAlignment="1" applyBorder="1" applyFont="1">
      <alignment vertical="center"/>
    </xf>
    <xf borderId="11" fillId="2" fontId="16" numFmtId="0" xfId="0" applyAlignment="1" applyBorder="1" applyFont="1">
      <alignment shrinkToFit="0" vertical="center" wrapText="1"/>
    </xf>
    <xf borderId="11" fillId="0" fontId="13" numFmtId="0" xfId="0" applyAlignment="1" applyBorder="1" applyFont="1">
      <alignment shrinkToFit="0" vertical="top" wrapText="1"/>
    </xf>
    <xf borderId="11" fillId="0" fontId="13" numFmtId="0" xfId="0" applyAlignment="1" applyBorder="1" applyFont="1">
      <alignment horizontal="left" shrinkToFit="0" vertical="top" wrapText="1"/>
    </xf>
    <xf borderId="11" fillId="0" fontId="13" numFmtId="0" xfId="0" applyAlignment="1" applyBorder="1" applyFont="1">
      <alignment horizontal="left" readingOrder="0" shrinkToFit="0" vertical="top" wrapText="1"/>
    </xf>
    <xf borderId="11" fillId="0" fontId="13" numFmtId="1" xfId="0" applyAlignment="1" applyBorder="1" applyFont="1" applyNumberFormat="1">
      <alignment horizontal="left" readingOrder="0" shrinkToFit="0" vertical="top" wrapText="1"/>
    </xf>
    <xf borderId="11" fillId="0" fontId="13" numFmtId="0" xfId="0" applyAlignment="1" applyBorder="1" applyFont="1">
      <alignment horizontal="center"/>
    </xf>
    <xf borderId="11" fillId="0" fontId="13" numFmtId="0" xfId="0" applyAlignment="1" applyBorder="1" applyFont="1">
      <alignment readingOrder="0" shrinkToFit="0" vertical="top" wrapText="1"/>
    </xf>
    <xf borderId="11" fillId="0" fontId="13" numFmtId="1" xfId="0" applyAlignment="1" applyBorder="1" applyFont="1" applyNumberFormat="1">
      <alignment horizontal="center" readingOrder="0" shrinkToFit="0" vertical="top" wrapText="1"/>
    </xf>
    <xf borderId="11" fillId="0" fontId="13" numFmtId="0" xfId="0" applyAlignment="1" applyBorder="1" applyFont="1">
      <alignment readingOrder="0"/>
    </xf>
    <xf borderId="0" fillId="0" fontId="13" numFmtId="0" xfId="0" applyAlignment="1" applyFont="1">
      <alignment shrinkToFit="0" vertical="top" wrapText="1"/>
    </xf>
    <xf borderId="11" fillId="0" fontId="13" numFmtId="1" xfId="0" applyAlignment="1" applyBorder="1" applyFont="1" applyNumberFormat="1">
      <alignment horizontal="center" shrinkToFit="0" vertical="top" wrapText="1"/>
    </xf>
    <xf borderId="11" fillId="0" fontId="13" numFmtId="0" xfId="0" applyBorder="1" applyFont="1"/>
    <xf borderId="6" fillId="2" fontId="13" numFmtId="0" xfId="0" applyAlignment="1" applyBorder="1" applyFont="1">
      <alignment horizontal="center"/>
    </xf>
    <xf borderId="5" fillId="2" fontId="13" numFmtId="0" xfId="0" applyBorder="1" applyFont="1"/>
    <xf borderId="4" fillId="0" fontId="13" numFmtId="0" xfId="0" applyBorder="1" applyFont="1"/>
    <xf borderId="11" fillId="2" fontId="13" numFmtId="0" xfId="0" applyBorder="1" applyFont="1"/>
    <xf borderId="13" fillId="0" fontId="13" numFmtId="0" xfId="0" applyBorder="1" applyFont="1"/>
    <xf borderId="14" fillId="2" fontId="16" numFmtId="0" xfId="0" applyAlignment="1" applyBorder="1" applyFont="1">
      <alignment horizontal="center"/>
    </xf>
    <xf borderId="15" fillId="0" fontId="15" numFmtId="0" xfId="0" applyBorder="1" applyFont="1"/>
    <xf borderId="16" fillId="2" fontId="16" numFmtId="0" xfId="0" applyAlignment="1" applyBorder="1" applyFont="1">
      <alignment horizontal="center" shrinkToFit="0" vertical="center" wrapText="1"/>
    </xf>
    <xf borderId="17" fillId="2" fontId="16" numFmtId="0" xfId="0" applyAlignment="1" applyBorder="1" applyFont="1">
      <alignment horizontal="center" shrinkToFit="0" vertical="center" wrapText="1"/>
    </xf>
    <xf borderId="18" fillId="0" fontId="13" numFmtId="0" xfId="0" applyBorder="1" applyFont="1"/>
    <xf borderId="18" fillId="0" fontId="13" numFmtId="0" xfId="0" applyAlignment="1" applyBorder="1" applyFont="1">
      <alignment shrinkToFit="0" wrapText="1"/>
    </xf>
    <xf borderId="18" fillId="0" fontId="13" numFmtId="0" xfId="0" applyAlignment="1" applyBorder="1" applyFont="1">
      <alignment horizontal="left" shrinkToFit="0" wrapText="1"/>
    </xf>
    <xf borderId="19" fillId="0" fontId="13" numFmtId="0" xfId="0" applyBorder="1" applyFont="1"/>
    <xf borderId="20" fillId="0" fontId="13" numFmtId="0" xfId="0" applyBorder="1" applyFont="1"/>
    <xf borderId="21" fillId="0" fontId="13" numFmtId="0" xfId="0" applyBorder="1" applyFont="1"/>
    <xf borderId="22" fillId="0" fontId="13" numFmtId="0" xfId="0" applyBorder="1" applyFont="1"/>
    <xf borderId="23" fillId="0" fontId="13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676275</xdr:colOff>
      <xdr:row>5</xdr:row>
      <xdr:rowOff>238125</xdr:rowOff>
    </xdr:from>
    <xdr:ext cx="136207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9.13"/>
    <col customWidth="1" min="3" max="3" width="11.38"/>
    <col customWidth="1" min="4" max="4" width="24.88"/>
    <col customWidth="1" min="5" max="10" width="14.63"/>
    <col customWidth="1" min="11" max="26" width="10.63"/>
  </cols>
  <sheetData>
    <row r="1" ht="15.0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0</v>
      </c>
      <c r="C2" s="5"/>
      <c r="D2" s="6"/>
      <c r="E2" s="6"/>
      <c r="F2" s="6"/>
      <c r="G2" s="6"/>
      <c r="H2" s="6"/>
      <c r="I2" s="6"/>
      <c r="J2" s="7" t="s">
        <v>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3"/>
      <c r="B3" s="8"/>
      <c r="C3" s="9"/>
      <c r="D3" s="10"/>
      <c r="E3" s="10"/>
      <c r="F3" s="10"/>
      <c r="G3" s="10"/>
      <c r="H3" s="10"/>
      <c r="I3" s="10"/>
      <c r="J3" s="10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11"/>
      <c r="B4" s="12"/>
      <c r="C4" s="13">
        <v>1.0</v>
      </c>
      <c r="D4" s="14" t="s">
        <v>2</v>
      </c>
      <c r="E4" s="15"/>
      <c r="F4" s="16" t="s">
        <v>3</v>
      </c>
      <c r="G4" s="17"/>
      <c r="H4" s="17"/>
      <c r="I4" s="17"/>
      <c r="J4" s="17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2"/>
      <c r="C5" s="13">
        <f>C4+1</f>
        <v>2</v>
      </c>
      <c r="D5" s="14" t="s">
        <v>4</v>
      </c>
      <c r="E5" s="15"/>
      <c r="F5" s="18" t="s">
        <v>5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1.75" customHeight="1">
      <c r="A6" s="11"/>
      <c r="B6" s="12"/>
      <c r="C6" s="13">
        <v>3.0</v>
      </c>
      <c r="D6" s="14" t="s">
        <v>6</v>
      </c>
      <c r="E6" s="15"/>
      <c r="F6" s="16" t="s">
        <v>7</v>
      </c>
      <c r="G6" s="15"/>
      <c r="H6" s="17"/>
      <c r="I6" s="17"/>
      <c r="J6" s="17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1.75" customHeight="1">
      <c r="A7" s="11"/>
      <c r="B7" s="12"/>
      <c r="C7" s="13"/>
      <c r="D7" s="11"/>
      <c r="E7" s="11"/>
      <c r="F7" s="11"/>
      <c r="G7" s="11"/>
      <c r="H7" s="11"/>
      <c r="I7" s="11"/>
      <c r="J7" s="17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3"/>
      <c r="B8" s="19"/>
      <c r="C8" s="20"/>
      <c r="D8" s="21"/>
      <c r="E8" s="21"/>
      <c r="F8" s="21"/>
      <c r="G8" s="21"/>
      <c r="H8" s="21"/>
      <c r="I8" s="21"/>
      <c r="J8" s="2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2"/>
      <c r="B10" s="23" t="s">
        <v>8</v>
      </c>
      <c r="C10" s="24" t="s">
        <v>9</v>
      </c>
      <c r="D10" s="25"/>
      <c r="E10" s="25"/>
      <c r="F10" s="25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6"/>
      <c r="B11" s="27" t="s">
        <v>10</v>
      </c>
      <c r="C11" s="28" t="s">
        <v>11</v>
      </c>
      <c r="D11" s="29"/>
      <c r="E11" s="29"/>
      <c r="F11" s="30"/>
      <c r="G11" s="28" t="s">
        <v>12</v>
      </c>
      <c r="H11" s="30"/>
      <c r="I11" s="31" t="s">
        <v>13</v>
      </c>
      <c r="J11" s="30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2"/>
      <c r="B12" s="32">
        <v>1.0</v>
      </c>
      <c r="C12" s="33" t="s">
        <v>14</v>
      </c>
      <c r="D12" s="29"/>
      <c r="E12" s="29"/>
      <c r="F12" s="30"/>
      <c r="G12" s="34" t="s">
        <v>15</v>
      </c>
      <c r="H12" s="30"/>
      <c r="I12" s="35"/>
      <c r="J12" s="30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6.25" customHeight="1">
      <c r="A13" s="22"/>
      <c r="B13" s="32">
        <f>B12+1</f>
        <v>2</v>
      </c>
      <c r="C13" s="33" t="s">
        <v>16</v>
      </c>
      <c r="D13" s="29"/>
      <c r="E13" s="29"/>
      <c r="F13" s="30"/>
      <c r="G13" s="34" t="s">
        <v>15</v>
      </c>
      <c r="H13" s="30"/>
      <c r="I13" s="35"/>
      <c r="J13" s="30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36"/>
      <c r="G14" s="22"/>
      <c r="I14" s="37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3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8" t="s">
        <v>17</v>
      </c>
      <c r="C16" s="39"/>
      <c r="D16" s="39"/>
      <c r="E16" s="39"/>
      <c r="F16" s="39"/>
      <c r="G16" s="39"/>
      <c r="H16" s="39"/>
      <c r="I16" s="39"/>
      <c r="J16" s="3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40" t="s">
        <v>18</v>
      </c>
      <c r="C17" s="40" t="s">
        <v>19</v>
      </c>
      <c r="D17" s="40" t="s">
        <v>20</v>
      </c>
      <c r="E17" s="41" t="s">
        <v>21</v>
      </c>
      <c r="F17" s="29"/>
      <c r="G17" s="29"/>
      <c r="H17" s="29"/>
      <c r="I17" s="29"/>
      <c r="J17" s="3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2" t="s">
        <v>22</v>
      </c>
      <c r="C18" s="43">
        <v>45935.0</v>
      </c>
      <c r="D18" s="44" t="s">
        <v>23</v>
      </c>
      <c r="E18" s="45"/>
      <c r="F18" s="29"/>
      <c r="G18" s="29"/>
      <c r="H18" s="29"/>
      <c r="I18" s="29"/>
      <c r="J18" s="3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46"/>
      <c r="C19" s="46"/>
      <c r="D19" s="47"/>
      <c r="E19" s="45"/>
      <c r="F19" s="29"/>
      <c r="G19" s="29"/>
      <c r="H19" s="29"/>
      <c r="I19" s="29"/>
      <c r="J19" s="3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3.25" customHeight="1">
      <c r="A21" s="3"/>
      <c r="B21" s="38" t="s">
        <v>24</v>
      </c>
      <c r="C21" s="39"/>
      <c r="D21" s="39"/>
      <c r="E21" s="39"/>
      <c r="F21" s="39"/>
      <c r="G21" s="39"/>
      <c r="H21" s="39"/>
      <c r="I21" s="39"/>
      <c r="J21" s="3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40" t="s">
        <v>10</v>
      </c>
      <c r="C22" s="40" t="s">
        <v>19</v>
      </c>
      <c r="D22" s="40" t="s">
        <v>25</v>
      </c>
      <c r="E22" s="41" t="s">
        <v>26</v>
      </c>
      <c r="F22" s="29"/>
      <c r="G22" s="29"/>
      <c r="H22" s="29"/>
      <c r="I22" s="29"/>
      <c r="J22" s="3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46">
        <v>1.0</v>
      </c>
      <c r="C23" s="46"/>
      <c r="D23" s="47"/>
      <c r="E23" s="45"/>
      <c r="F23" s="29"/>
      <c r="G23" s="29"/>
      <c r="H23" s="29"/>
      <c r="I23" s="29"/>
      <c r="J23" s="3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46">
        <v>2.0</v>
      </c>
      <c r="C24" s="46"/>
      <c r="D24" s="47"/>
      <c r="E24" s="45"/>
      <c r="F24" s="29"/>
      <c r="G24" s="29"/>
      <c r="H24" s="29"/>
      <c r="I24" s="29"/>
      <c r="J24" s="3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2">
    <mergeCell ref="F5:J5"/>
    <mergeCell ref="C10:F10"/>
    <mergeCell ref="C11:F11"/>
    <mergeCell ref="G11:H11"/>
    <mergeCell ref="I11:J11"/>
    <mergeCell ref="G12:H12"/>
    <mergeCell ref="I12:J12"/>
    <mergeCell ref="B16:J16"/>
    <mergeCell ref="E17:J17"/>
    <mergeCell ref="E18:J18"/>
    <mergeCell ref="E19:J19"/>
    <mergeCell ref="B21:J21"/>
    <mergeCell ref="E22:J22"/>
    <mergeCell ref="E23:J23"/>
    <mergeCell ref="E24:J24"/>
    <mergeCell ref="C12:F12"/>
    <mergeCell ref="C13:F13"/>
    <mergeCell ref="G13:H13"/>
    <mergeCell ref="I13:J13"/>
    <mergeCell ref="C14:F14"/>
    <mergeCell ref="G14:H14"/>
    <mergeCell ref="I14:J14"/>
  </mergeCells>
  <hyperlinks>
    <hyperlink display="Instruções" location="Capa!A1" ref="D4"/>
    <hyperlink display="Partes interessadas" location="PartesInteressadas!A1" ref="D5"/>
    <hyperlink display="Paramêtros" location="Param!A1" ref="D6"/>
    <hyperlink display="Partes Interessadas" location="null!A1" ref="G12"/>
    <hyperlink display="Partes Interessadas" location="null!A1" ref="G13"/>
  </hyperlinks>
  <printOptions/>
  <pageMargins bottom="0.7874015748031497" footer="0.0" header="0.0" left="0.2362204724409449" right="0.31496062992125984" top="0.5905511811023623"/>
  <pageSetup paperSize="9" orientation="landscape"/>
  <headerFooter>
    <oddHeader>&amp;LRegistro e plano de gerenciamento das partes interessadas&amp;R&amp;A</oddHeader>
    <oddFooter>&amp;L&amp;F Escritório de Projetos&amp;RPágina &amp;P de  http://escritoriodeprojetos.com.br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3.38"/>
    <col customWidth="1" min="2" max="2" width="4.38"/>
    <col customWidth="1" min="3" max="3" width="6.63"/>
    <col customWidth="1" min="4" max="4" width="29.63"/>
    <col customWidth="1" min="5" max="5" width="22.38"/>
    <col customWidth="1" min="6" max="6" width="12.13"/>
    <col customWidth="1" min="7" max="7" width="11.63"/>
    <col customWidth="1" min="8" max="8" width="15.38"/>
    <col customWidth="1" min="9" max="9" width="15.5"/>
    <col customWidth="1" min="10" max="10" width="44.0"/>
    <col customWidth="1" min="11" max="11" width="51.38"/>
    <col customWidth="1" min="12" max="12" width="10.63"/>
    <col customWidth="1" min="13" max="13" width="11.38"/>
    <col customWidth="1" min="14" max="14" width="51.63"/>
    <col customWidth="1" min="15" max="15" width="30.38"/>
    <col customWidth="1" min="16" max="16" width="7.63"/>
    <col customWidth="1" min="17" max="26" width="9.13"/>
  </cols>
  <sheetData>
    <row r="1">
      <c r="A1" s="22"/>
      <c r="B1" s="23"/>
      <c r="C1" s="36"/>
      <c r="D1" s="37"/>
      <c r="E1" s="37"/>
      <c r="F1" s="37"/>
      <c r="G1" s="37"/>
      <c r="H1" s="23"/>
      <c r="I1" s="48"/>
      <c r="J1" s="49"/>
      <c r="K1" s="49"/>
      <c r="L1" s="49"/>
      <c r="M1" s="49"/>
      <c r="N1" s="22"/>
      <c r="O1" s="22"/>
      <c r="P1" s="37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3"/>
      <c r="C2" s="36"/>
      <c r="D2" s="50" t="s">
        <v>27</v>
      </c>
      <c r="E2" s="29"/>
      <c r="F2" s="29"/>
      <c r="G2" s="29"/>
      <c r="H2" s="29"/>
      <c r="I2" s="30"/>
      <c r="J2" s="51" t="s">
        <v>28</v>
      </c>
      <c r="K2" s="29"/>
      <c r="L2" s="29"/>
      <c r="M2" s="29"/>
      <c r="N2" s="52"/>
      <c r="O2" s="22"/>
      <c r="P2" s="37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53"/>
      <c r="B3" s="54" t="s">
        <v>29</v>
      </c>
      <c r="C3" s="54" t="s">
        <v>30</v>
      </c>
      <c r="D3" s="55" t="s">
        <v>31</v>
      </c>
      <c r="E3" s="55" t="s">
        <v>32</v>
      </c>
      <c r="F3" s="55" t="s">
        <v>33</v>
      </c>
      <c r="G3" s="55" t="s">
        <v>34</v>
      </c>
      <c r="H3" s="55" t="s">
        <v>35</v>
      </c>
      <c r="I3" s="55" t="s">
        <v>36</v>
      </c>
      <c r="J3" s="54" t="s">
        <v>37</v>
      </c>
      <c r="K3" s="54" t="s">
        <v>38</v>
      </c>
      <c r="L3" s="56" t="s">
        <v>39</v>
      </c>
      <c r="M3" s="56" t="s">
        <v>40</v>
      </c>
      <c r="N3" s="54" t="s">
        <v>41</v>
      </c>
      <c r="O3" s="54" t="s">
        <v>13</v>
      </c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22"/>
      <c r="B4" s="57">
        <v>1.0</v>
      </c>
      <c r="C4" s="58">
        <f t="shared" ref="C4:C29" si="1">IF(ISTEXT(L4),LEFT(L4,1),L4)*IF(ISTEXT(M4),LEFT(M4,1),M4)</f>
        <v>25</v>
      </c>
      <c r="D4" s="59" t="s">
        <v>42</v>
      </c>
      <c r="E4" s="59" t="s">
        <v>43</v>
      </c>
      <c r="F4" s="59" t="s">
        <v>44</v>
      </c>
      <c r="G4" s="59" t="s">
        <v>44</v>
      </c>
      <c r="H4" s="59" t="s">
        <v>45</v>
      </c>
      <c r="I4" s="59" t="s">
        <v>46</v>
      </c>
      <c r="J4" s="59" t="s">
        <v>47</v>
      </c>
      <c r="K4" s="59" t="s">
        <v>48</v>
      </c>
      <c r="L4" s="60" t="s">
        <v>49</v>
      </c>
      <c r="M4" s="60" t="s">
        <v>49</v>
      </c>
      <c r="N4" s="59" t="s">
        <v>50</v>
      </c>
      <c r="O4" s="59" t="s">
        <v>51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57">
        <f t="shared" ref="B5:B29" si="2">B4+1</f>
        <v>2</v>
      </c>
      <c r="C5" s="61">
        <f t="shared" si="1"/>
        <v>16</v>
      </c>
      <c r="D5" s="62" t="s">
        <v>52</v>
      </c>
      <c r="E5" s="62" t="s">
        <v>44</v>
      </c>
      <c r="F5" s="62" t="s">
        <v>44</v>
      </c>
      <c r="G5" s="62" t="s">
        <v>44</v>
      </c>
      <c r="H5" s="62" t="s">
        <v>45</v>
      </c>
      <c r="I5" s="62" t="s">
        <v>53</v>
      </c>
      <c r="J5" s="62" t="s">
        <v>54</v>
      </c>
      <c r="K5" s="62" t="s">
        <v>55</v>
      </c>
      <c r="L5" s="63" t="s">
        <v>56</v>
      </c>
      <c r="M5" s="63" t="s">
        <v>56</v>
      </c>
      <c r="N5" s="62" t="s">
        <v>57</v>
      </c>
      <c r="O5" s="64" t="s">
        <v>58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65"/>
      <c r="B6" s="57">
        <f t="shared" si="2"/>
        <v>3</v>
      </c>
      <c r="C6" s="61">
        <f t="shared" si="1"/>
        <v>12</v>
      </c>
      <c r="D6" s="62" t="s">
        <v>59</v>
      </c>
      <c r="E6" s="62" t="s">
        <v>44</v>
      </c>
      <c r="F6" s="62" t="s">
        <v>44</v>
      </c>
      <c r="G6" s="62" t="s">
        <v>44</v>
      </c>
      <c r="H6" s="62" t="s">
        <v>44</v>
      </c>
      <c r="I6" s="62" t="s">
        <v>60</v>
      </c>
      <c r="J6" s="62" t="s">
        <v>61</v>
      </c>
      <c r="K6" s="62" t="s">
        <v>62</v>
      </c>
      <c r="L6" s="63" t="s">
        <v>63</v>
      </c>
      <c r="M6" s="63" t="s">
        <v>56</v>
      </c>
      <c r="N6" s="62" t="s">
        <v>64</v>
      </c>
      <c r="O6" s="62" t="s">
        <v>65</v>
      </c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65"/>
      <c r="B7" s="57">
        <f t="shared" si="2"/>
        <v>4</v>
      </c>
      <c r="C7" s="61">
        <f t="shared" si="1"/>
        <v>12</v>
      </c>
      <c r="D7" s="62" t="s">
        <v>66</v>
      </c>
      <c r="E7" s="62" t="s">
        <v>44</v>
      </c>
      <c r="F7" s="62" t="s">
        <v>44</v>
      </c>
      <c r="G7" s="62" t="s">
        <v>44</v>
      </c>
      <c r="H7" s="62" t="s">
        <v>45</v>
      </c>
      <c r="I7" s="62" t="s">
        <v>67</v>
      </c>
      <c r="J7" s="62" t="s">
        <v>68</v>
      </c>
      <c r="K7" s="62" t="s">
        <v>69</v>
      </c>
      <c r="L7" s="63" t="s">
        <v>63</v>
      </c>
      <c r="M7" s="63" t="s">
        <v>56</v>
      </c>
      <c r="N7" s="62" t="s">
        <v>70</v>
      </c>
      <c r="O7" s="62" t="s">
        <v>71</v>
      </c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65"/>
      <c r="B8" s="57">
        <f t="shared" si="2"/>
        <v>5</v>
      </c>
      <c r="C8" s="61">
        <f t="shared" si="1"/>
        <v>10</v>
      </c>
      <c r="D8" s="62" t="s">
        <v>72</v>
      </c>
      <c r="E8" s="62" t="s">
        <v>44</v>
      </c>
      <c r="F8" s="62" t="s">
        <v>44</v>
      </c>
      <c r="G8" s="62" t="s">
        <v>44</v>
      </c>
      <c r="H8" s="62" t="s">
        <v>73</v>
      </c>
      <c r="I8" s="62" t="s">
        <v>74</v>
      </c>
      <c r="J8" s="62" t="s">
        <v>75</v>
      </c>
      <c r="K8" s="62" t="s">
        <v>76</v>
      </c>
      <c r="L8" s="63" t="s">
        <v>49</v>
      </c>
      <c r="M8" s="63" t="s">
        <v>77</v>
      </c>
      <c r="N8" s="62" t="s">
        <v>78</v>
      </c>
      <c r="O8" s="62" t="s">
        <v>79</v>
      </c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65"/>
      <c r="B9" s="57">
        <f t="shared" si="2"/>
        <v>6</v>
      </c>
      <c r="C9" s="61">
        <f t="shared" si="1"/>
        <v>0</v>
      </c>
      <c r="D9" s="57"/>
      <c r="E9" s="57"/>
      <c r="F9" s="57"/>
      <c r="G9" s="57"/>
      <c r="H9" s="57"/>
      <c r="I9" s="57"/>
      <c r="J9" s="57"/>
      <c r="K9" s="57"/>
      <c r="L9" s="66"/>
      <c r="M9" s="66"/>
      <c r="N9" s="57"/>
      <c r="O9" s="57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65"/>
      <c r="B10" s="57">
        <f t="shared" si="2"/>
        <v>7</v>
      </c>
      <c r="C10" s="61">
        <f t="shared" si="1"/>
        <v>0</v>
      </c>
      <c r="D10" s="57"/>
      <c r="E10" s="57"/>
      <c r="F10" s="57"/>
      <c r="G10" s="57"/>
      <c r="H10" s="57"/>
      <c r="I10" s="57"/>
      <c r="J10" s="57"/>
      <c r="K10" s="57"/>
      <c r="L10" s="66"/>
      <c r="M10" s="66"/>
      <c r="N10" s="57"/>
      <c r="O10" s="57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65"/>
      <c r="B11" s="57">
        <f t="shared" si="2"/>
        <v>8</v>
      </c>
      <c r="C11" s="61">
        <f t="shared" si="1"/>
        <v>0</v>
      </c>
      <c r="D11" s="57"/>
      <c r="E11" s="57"/>
      <c r="F11" s="57"/>
      <c r="G11" s="57"/>
      <c r="H11" s="57"/>
      <c r="I11" s="57"/>
      <c r="J11" s="57"/>
      <c r="K11" s="57"/>
      <c r="L11" s="66"/>
      <c r="M11" s="66"/>
      <c r="N11" s="57"/>
      <c r="O11" s="57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65"/>
      <c r="B12" s="57">
        <f t="shared" si="2"/>
        <v>9</v>
      </c>
      <c r="C12" s="61">
        <f t="shared" si="1"/>
        <v>0</v>
      </c>
      <c r="D12" s="57"/>
      <c r="E12" s="57"/>
      <c r="F12" s="57"/>
      <c r="G12" s="57"/>
      <c r="H12" s="57"/>
      <c r="I12" s="57"/>
      <c r="J12" s="57"/>
      <c r="K12" s="57"/>
      <c r="L12" s="66"/>
      <c r="M12" s="66"/>
      <c r="N12" s="57"/>
      <c r="O12" s="57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65"/>
      <c r="B13" s="57">
        <f t="shared" si="2"/>
        <v>10</v>
      </c>
      <c r="C13" s="61">
        <f t="shared" si="1"/>
        <v>0</v>
      </c>
      <c r="D13" s="57"/>
      <c r="E13" s="57"/>
      <c r="F13" s="57"/>
      <c r="G13" s="57"/>
      <c r="H13" s="57"/>
      <c r="I13" s="57"/>
      <c r="J13" s="57"/>
      <c r="K13" s="57"/>
      <c r="L13" s="66"/>
      <c r="M13" s="66"/>
      <c r="N13" s="57"/>
      <c r="O13" s="57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65"/>
      <c r="B14" s="57">
        <f t="shared" si="2"/>
        <v>11</v>
      </c>
      <c r="C14" s="61">
        <f t="shared" si="1"/>
        <v>0</v>
      </c>
      <c r="D14" s="57"/>
      <c r="E14" s="57"/>
      <c r="F14" s="57"/>
      <c r="G14" s="57"/>
      <c r="H14" s="57"/>
      <c r="I14" s="57"/>
      <c r="J14" s="57"/>
      <c r="K14" s="57"/>
      <c r="L14" s="66"/>
      <c r="M14" s="66"/>
      <c r="N14" s="57"/>
      <c r="O14" s="57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5"/>
      <c r="B15" s="57">
        <f t="shared" si="2"/>
        <v>12</v>
      </c>
      <c r="C15" s="61">
        <f t="shared" si="1"/>
        <v>0</v>
      </c>
      <c r="D15" s="57"/>
      <c r="E15" s="57"/>
      <c r="F15" s="57"/>
      <c r="G15" s="57"/>
      <c r="H15" s="57"/>
      <c r="I15" s="57"/>
      <c r="J15" s="57"/>
      <c r="K15" s="57"/>
      <c r="L15" s="66"/>
      <c r="M15" s="66"/>
      <c r="N15" s="67"/>
      <c r="O15" s="57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65"/>
      <c r="B16" s="57">
        <f t="shared" si="2"/>
        <v>13</v>
      </c>
      <c r="C16" s="61">
        <f t="shared" si="1"/>
        <v>0</v>
      </c>
      <c r="D16" s="57"/>
      <c r="E16" s="57"/>
      <c r="F16" s="57"/>
      <c r="G16" s="57"/>
      <c r="H16" s="57"/>
      <c r="I16" s="57"/>
      <c r="J16" s="57"/>
      <c r="K16" s="57"/>
      <c r="L16" s="66"/>
      <c r="M16" s="66"/>
      <c r="N16" s="67"/>
      <c r="O16" s="57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65"/>
      <c r="B17" s="57">
        <f t="shared" si="2"/>
        <v>14</v>
      </c>
      <c r="C17" s="61">
        <f t="shared" si="1"/>
        <v>0</v>
      </c>
      <c r="D17" s="57"/>
      <c r="E17" s="57"/>
      <c r="F17" s="57"/>
      <c r="G17" s="57"/>
      <c r="H17" s="57"/>
      <c r="I17" s="57"/>
      <c r="J17" s="57"/>
      <c r="K17" s="57"/>
      <c r="L17" s="66"/>
      <c r="M17" s="66"/>
      <c r="N17" s="67"/>
      <c r="O17" s="57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65"/>
      <c r="B18" s="57">
        <f t="shared" si="2"/>
        <v>15</v>
      </c>
      <c r="C18" s="61">
        <f t="shared" si="1"/>
        <v>0</v>
      </c>
      <c r="D18" s="57"/>
      <c r="E18" s="57"/>
      <c r="F18" s="57"/>
      <c r="G18" s="57"/>
      <c r="H18" s="57"/>
      <c r="I18" s="57"/>
      <c r="J18" s="57"/>
      <c r="K18" s="57"/>
      <c r="L18" s="66"/>
      <c r="M18" s="66"/>
      <c r="N18" s="67"/>
      <c r="O18" s="57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65"/>
      <c r="B19" s="57">
        <f t="shared" si="2"/>
        <v>16</v>
      </c>
      <c r="C19" s="61">
        <f t="shared" si="1"/>
        <v>0</v>
      </c>
      <c r="D19" s="57"/>
      <c r="E19" s="57"/>
      <c r="F19" s="57"/>
      <c r="G19" s="57"/>
      <c r="H19" s="57"/>
      <c r="I19" s="57"/>
      <c r="J19" s="57"/>
      <c r="K19" s="57"/>
      <c r="L19" s="66"/>
      <c r="M19" s="66"/>
      <c r="N19" s="67"/>
      <c r="O19" s="57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65"/>
      <c r="B20" s="57">
        <f t="shared" si="2"/>
        <v>17</v>
      </c>
      <c r="C20" s="61">
        <f t="shared" si="1"/>
        <v>0</v>
      </c>
      <c r="D20" s="57"/>
      <c r="E20" s="57"/>
      <c r="F20" s="57"/>
      <c r="G20" s="57"/>
      <c r="H20" s="57"/>
      <c r="I20" s="57"/>
      <c r="J20" s="57"/>
      <c r="K20" s="57"/>
      <c r="L20" s="66"/>
      <c r="M20" s="66"/>
      <c r="N20" s="67"/>
      <c r="O20" s="57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5.75" customHeight="1">
      <c r="A21" s="65"/>
      <c r="B21" s="57">
        <f t="shared" si="2"/>
        <v>18</v>
      </c>
      <c r="C21" s="61">
        <f t="shared" si="1"/>
        <v>0</v>
      </c>
      <c r="D21" s="57"/>
      <c r="E21" s="57"/>
      <c r="F21" s="57"/>
      <c r="G21" s="57"/>
      <c r="H21" s="57"/>
      <c r="I21" s="57"/>
      <c r="J21" s="57"/>
      <c r="K21" s="57"/>
      <c r="L21" s="66"/>
      <c r="M21" s="66"/>
      <c r="N21" s="67"/>
      <c r="O21" s="57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5.75" customHeight="1">
      <c r="A22" s="65"/>
      <c r="B22" s="57">
        <f t="shared" si="2"/>
        <v>19</v>
      </c>
      <c r="C22" s="61">
        <f t="shared" si="1"/>
        <v>0</v>
      </c>
      <c r="D22" s="57"/>
      <c r="E22" s="57"/>
      <c r="F22" s="57"/>
      <c r="G22" s="57"/>
      <c r="H22" s="57"/>
      <c r="I22" s="57"/>
      <c r="J22" s="57"/>
      <c r="K22" s="57"/>
      <c r="L22" s="66"/>
      <c r="M22" s="66"/>
      <c r="N22" s="67"/>
      <c r="O22" s="57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5.75" customHeight="1">
      <c r="A23" s="65"/>
      <c r="B23" s="57">
        <f t="shared" si="2"/>
        <v>20</v>
      </c>
      <c r="C23" s="61">
        <f t="shared" si="1"/>
        <v>0</v>
      </c>
      <c r="D23" s="57"/>
      <c r="E23" s="57"/>
      <c r="F23" s="57"/>
      <c r="G23" s="57"/>
      <c r="H23" s="57"/>
      <c r="I23" s="57"/>
      <c r="J23" s="57"/>
      <c r="K23" s="57"/>
      <c r="L23" s="66"/>
      <c r="M23" s="66"/>
      <c r="N23" s="67"/>
      <c r="O23" s="57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5.75" customHeight="1">
      <c r="A24" s="65"/>
      <c r="B24" s="57">
        <f t="shared" si="2"/>
        <v>21</v>
      </c>
      <c r="C24" s="61">
        <f t="shared" si="1"/>
        <v>0</v>
      </c>
      <c r="D24" s="57"/>
      <c r="E24" s="57"/>
      <c r="F24" s="57"/>
      <c r="G24" s="57"/>
      <c r="H24" s="57"/>
      <c r="I24" s="57"/>
      <c r="J24" s="57"/>
      <c r="K24" s="57"/>
      <c r="L24" s="66"/>
      <c r="M24" s="66"/>
      <c r="N24" s="67"/>
      <c r="O24" s="57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5.75" customHeight="1">
      <c r="A25" s="65"/>
      <c r="B25" s="57">
        <f t="shared" si="2"/>
        <v>22</v>
      </c>
      <c r="C25" s="61">
        <f t="shared" si="1"/>
        <v>0</v>
      </c>
      <c r="D25" s="57"/>
      <c r="E25" s="57"/>
      <c r="F25" s="57"/>
      <c r="G25" s="57"/>
      <c r="H25" s="57"/>
      <c r="I25" s="57"/>
      <c r="J25" s="57"/>
      <c r="K25" s="57"/>
      <c r="L25" s="66"/>
      <c r="M25" s="66"/>
      <c r="N25" s="67"/>
      <c r="O25" s="57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5.75" customHeight="1">
      <c r="A26" s="65"/>
      <c r="B26" s="57">
        <f t="shared" si="2"/>
        <v>23</v>
      </c>
      <c r="C26" s="61">
        <f t="shared" si="1"/>
        <v>0</v>
      </c>
      <c r="D26" s="57"/>
      <c r="E26" s="57"/>
      <c r="F26" s="57"/>
      <c r="G26" s="57"/>
      <c r="H26" s="57"/>
      <c r="I26" s="57"/>
      <c r="J26" s="57"/>
      <c r="K26" s="57"/>
      <c r="L26" s="66"/>
      <c r="M26" s="66"/>
      <c r="N26" s="67"/>
      <c r="O26" s="57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5.75" customHeight="1">
      <c r="A27" s="65"/>
      <c r="B27" s="57">
        <f t="shared" si="2"/>
        <v>24</v>
      </c>
      <c r="C27" s="61">
        <f t="shared" si="1"/>
        <v>0</v>
      </c>
      <c r="D27" s="57"/>
      <c r="E27" s="57"/>
      <c r="F27" s="57"/>
      <c r="G27" s="57"/>
      <c r="H27" s="57"/>
      <c r="I27" s="57"/>
      <c r="J27" s="57"/>
      <c r="K27" s="57"/>
      <c r="L27" s="66"/>
      <c r="M27" s="66"/>
      <c r="N27" s="67"/>
      <c r="O27" s="57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5.75" customHeight="1">
      <c r="A28" s="65"/>
      <c r="B28" s="57">
        <f t="shared" si="2"/>
        <v>25</v>
      </c>
      <c r="C28" s="61">
        <f t="shared" si="1"/>
        <v>0</v>
      </c>
      <c r="D28" s="57"/>
      <c r="E28" s="57"/>
      <c r="F28" s="57"/>
      <c r="G28" s="57"/>
      <c r="H28" s="57"/>
      <c r="I28" s="57"/>
      <c r="J28" s="57"/>
      <c r="K28" s="57"/>
      <c r="L28" s="66"/>
      <c r="M28" s="66"/>
      <c r="N28" s="67"/>
      <c r="O28" s="57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5.75" customHeight="1">
      <c r="A29" s="65"/>
      <c r="B29" s="57">
        <f t="shared" si="2"/>
        <v>26</v>
      </c>
      <c r="C29" s="61">
        <f t="shared" si="1"/>
        <v>0</v>
      </c>
      <c r="D29" s="57"/>
      <c r="E29" s="57"/>
      <c r="F29" s="57"/>
      <c r="G29" s="57"/>
      <c r="H29" s="57"/>
      <c r="I29" s="57"/>
      <c r="J29" s="57"/>
      <c r="K29" s="57"/>
      <c r="L29" s="66"/>
      <c r="M29" s="66"/>
      <c r="N29" s="67"/>
      <c r="O29" s="57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36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36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36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36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36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36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36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36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36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3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36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36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36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36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36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36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36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36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36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36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36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36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36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36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36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36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36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36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36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36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36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36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36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36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36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36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36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36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36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36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36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36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36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36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36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36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36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36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36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36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36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36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36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36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36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36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36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36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36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36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36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36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36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36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36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36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36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36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36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36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36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36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36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36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36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36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36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36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36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36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36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36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36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36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36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36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36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36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36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36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36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36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36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36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36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36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36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36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36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36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36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36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36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36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36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36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36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36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36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36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36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36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36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36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36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36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36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36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36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36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36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36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36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36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36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36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36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36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36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36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36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36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36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36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36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36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36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36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36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36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36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36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36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36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36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36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36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36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36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36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36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36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36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36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36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36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36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36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36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36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36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36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36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36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36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36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36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36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36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36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36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36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36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36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36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36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36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36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36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36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36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36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36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36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36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36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36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36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36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36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36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36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36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36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36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36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36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36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36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36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36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36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36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36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36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36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36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36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36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36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36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36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36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36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36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36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36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36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36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36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36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36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36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36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36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36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36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36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36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36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36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36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36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36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36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36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36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36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36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36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36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36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36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36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36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36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36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36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36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36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36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36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36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36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36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36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36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36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36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36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36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36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36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36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36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36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36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36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36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36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36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36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36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36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36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36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36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36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36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36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36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36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36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36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36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36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36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36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36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36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36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36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36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36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36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36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36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36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36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36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36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36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36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36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36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36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36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36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36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36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36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36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36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36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36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36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36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36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36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36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36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36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36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36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36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36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36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36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36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36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36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36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36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36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36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36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36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36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36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36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36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36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36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36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36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36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36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36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36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36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36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36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36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36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36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36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36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36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36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36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36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36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36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36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36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36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36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36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36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36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36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36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36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36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36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36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36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36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36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36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36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36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36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36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36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36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36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36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36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36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36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36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36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36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36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36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36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36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36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36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36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36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36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36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36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36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36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36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36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36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36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36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36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36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36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36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36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36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36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36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36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36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36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36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36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36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36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36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36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36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36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36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36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36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36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36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36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36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36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36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36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36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36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36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36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36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36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36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36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36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36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36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36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36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36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36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36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36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36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36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36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36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36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36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36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36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36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36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36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36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36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36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36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36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36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36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36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36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36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36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36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36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36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36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36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36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36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36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36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36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36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36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36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36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36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36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36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36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36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36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36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36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36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36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36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36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36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36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36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36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36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36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36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36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36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36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36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36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36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36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36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36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36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36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36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36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36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36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36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36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36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36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36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36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36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36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36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36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36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36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36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36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36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36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36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36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36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36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36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36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36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36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36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36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36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36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36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36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36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36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36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36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36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36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36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36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36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36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36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36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36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36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36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36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36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36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36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36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36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36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36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36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36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36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36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36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36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36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36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36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36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36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36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36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36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36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36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36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36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36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36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36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36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36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36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36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36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36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36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36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36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36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36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36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36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36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36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36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36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36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36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36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36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36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36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36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36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36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36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36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36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36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36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36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36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36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36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36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36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36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36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36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36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36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36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36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36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36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36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36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36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36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36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36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36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36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36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36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36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36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36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36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36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36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36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36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36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36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36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36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36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36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36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36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36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36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36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36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36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36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36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36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36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36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36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36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36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36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36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36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36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36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36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36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36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36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36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36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36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36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36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36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36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36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36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36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36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36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36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36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36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36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36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36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36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36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36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36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36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36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36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36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36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36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36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36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36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36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36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36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36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36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36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36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36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36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36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36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36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36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36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36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36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36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36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36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36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36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36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36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36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36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36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36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36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36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36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36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36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36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36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36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36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36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36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36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36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36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36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36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36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36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36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36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36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36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36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36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36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36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36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36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36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36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36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36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36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36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36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36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36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36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36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36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36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36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36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36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36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36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36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36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36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36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36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36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36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36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36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36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36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36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36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36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36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36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36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36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36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36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36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36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36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36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36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36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36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36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36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36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36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36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36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36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36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36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36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36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36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36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36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36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36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36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36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36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36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36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36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36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36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36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36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36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36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36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36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36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36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36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36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36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36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36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36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36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36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36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36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36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36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36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36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36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36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36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36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36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36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36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36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36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36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36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36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36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36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36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36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36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36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36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36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36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36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36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36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36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36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36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36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36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36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36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36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36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36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36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36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36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36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36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36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36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36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36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36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36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36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36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36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36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36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36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36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36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36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36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36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36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36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36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36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36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36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36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36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36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36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36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36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36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36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36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36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36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36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36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36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36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36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36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36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36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36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36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36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36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36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36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36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36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36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36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36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36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36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36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36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2">
    <mergeCell ref="D2:I2"/>
    <mergeCell ref="J2:M2"/>
  </mergeCells>
  <conditionalFormatting sqref="C4:C18">
    <cfRule type="cellIs" dxfId="0" priority="1" stopIfTrue="1" operator="greaterThanOrEqual">
      <formula>16</formula>
    </cfRule>
  </conditionalFormatting>
  <conditionalFormatting sqref="C4:C18">
    <cfRule type="cellIs" dxfId="1" priority="2" stopIfTrue="1" operator="lessThan">
      <formula>5</formula>
    </cfRule>
  </conditionalFormatting>
  <conditionalFormatting sqref="C4:C18">
    <cfRule type="cellIs" dxfId="2" priority="3" stopIfTrue="1" operator="lessThan">
      <formula>16</formula>
    </cfRule>
  </conditionalFormatting>
  <conditionalFormatting sqref="C19:C29">
    <cfRule type="cellIs" dxfId="0" priority="4" stopIfTrue="1" operator="greaterThanOrEqual">
      <formula>16</formula>
    </cfRule>
  </conditionalFormatting>
  <conditionalFormatting sqref="C19:C29">
    <cfRule type="cellIs" dxfId="1" priority="5" stopIfTrue="1" operator="lessThan">
      <formula>5</formula>
    </cfRule>
  </conditionalFormatting>
  <conditionalFormatting sqref="C19:C29">
    <cfRule type="cellIs" dxfId="2" priority="6" stopIfTrue="1" operator="lessThan">
      <formula>16</formula>
    </cfRule>
  </conditionalFormatting>
  <dataValidations>
    <dataValidation type="list" allowBlank="1" showErrorMessage="1" sqref="L4:L29">
      <formula1>Poder</formula1>
    </dataValidation>
    <dataValidation type="list" allowBlank="1" showErrorMessage="1" sqref="M4:M29">
      <formula1>Interesse</formula1>
    </dataValidation>
  </dataValidations>
  <printOptions/>
  <pageMargins bottom="0.7874015748031497" footer="0.0" header="0.0" left="0.2362204724409449" right="0.31496062992125984" top="0.5905511811023623"/>
  <pageSetup paperSize="9" orientation="landscape"/>
  <headerFooter>
    <oddHeader>&amp;LRegistro e plano de gerenciamento das partes interessadas&amp;R&amp;A</oddHeader>
    <oddFooter>&amp;L&amp;F Escritório de Projetos&amp;RPágina &amp;P de  http://escritoriodeprojetos.com.br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3" width="9.13"/>
    <col customWidth="1" min="4" max="4" width="9.88"/>
    <col customWidth="1" min="5" max="26" width="9.13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22"/>
      <c r="C2" s="22"/>
      <c r="D2" s="22" t="s">
        <v>80</v>
      </c>
      <c r="E2" s="22"/>
      <c r="F2" s="22"/>
      <c r="G2" s="22"/>
      <c r="H2" s="22"/>
      <c r="I2" s="22"/>
      <c r="J2" s="22"/>
      <c r="K2" s="22"/>
      <c r="L2" s="22" t="s">
        <v>81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 t="s">
        <v>82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/>
      <c r="B4" s="22"/>
      <c r="C4" s="36"/>
      <c r="H4" s="22"/>
      <c r="I4" s="22"/>
      <c r="J4" s="22"/>
      <c r="K4" s="68" t="s">
        <v>83</v>
      </c>
      <c r="L4" s="29"/>
      <c r="M4" s="29"/>
      <c r="N4" s="29"/>
      <c r="O4" s="30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69" t="s">
        <v>83</v>
      </c>
      <c r="C5" s="70"/>
      <c r="D5" s="70"/>
      <c r="E5" s="70"/>
      <c r="F5" s="70"/>
      <c r="G5" s="70"/>
      <c r="H5" s="22"/>
      <c r="I5" s="22"/>
      <c r="J5" s="71" t="s">
        <v>84</v>
      </c>
      <c r="K5" s="67">
        <v>1.0</v>
      </c>
      <c r="L5" s="67">
        <f t="shared" ref="L5:O5" si="1">K5+1</f>
        <v>2</v>
      </c>
      <c r="M5" s="67">
        <f t="shared" si="1"/>
        <v>3</v>
      </c>
      <c r="N5" s="67">
        <f t="shared" si="1"/>
        <v>4</v>
      </c>
      <c r="O5" s="67">
        <f t="shared" si="1"/>
        <v>5</v>
      </c>
      <c r="P5" s="71" t="s">
        <v>85</v>
      </c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67">
        <f t="shared" ref="B6:B9" si="4">B7+1</f>
        <v>5</v>
      </c>
      <c r="C6" s="22">
        <f t="shared" ref="C6:G6" si="2">$B6*C$11</f>
        <v>5</v>
      </c>
      <c r="D6" s="22">
        <f t="shared" si="2"/>
        <v>10</v>
      </c>
      <c r="E6" s="22">
        <f t="shared" si="2"/>
        <v>15</v>
      </c>
      <c r="F6" s="22">
        <f t="shared" si="2"/>
        <v>20</v>
      </c>
      <c r="G6" s="22">
        <f t="shared" si="2"/>
        <v>25</v>
      </c>
      <c r="H6" s="72"/>
      <c r="I6" s="22"/>
      <c r="J6" s="67">
        <f t="shared" ref="J6:J9" si="6">J7+1</f>
        <v>5</v>
      </c>
      <c r="K6" s="22">
        <f t="shared" ref="K6:O6" si="3">$J6*K$11*K$5*$P6</f>
        <v>25</v>
      </c>
      <c r="L6" s="22">
        <f t="shared" si="3"/>
        <v>100</v>
      </c>
      <c r="M6" s="22">
        <f t="shared" si="3"/>
        <v>225</v>
      </c>
      <c r="N6" s="22">
        <f t="shared" si="3"/>
        <v>400</v>
      </c>
      <c r="O6" s="22">
        <f t="shared" si="3"/>
        <v>625</v>
      </c>
      <c r="P6" s="67">
        <f t="shared" ref="P6:P9" si="8">P7+1</f>
        <v>5</v>
      </c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67">
        <f t="shared" si="4"/>
        <v>4</v>
      </c>
      <c r="C7" s="22">
        <f t="shared" ref="C7:G7" si="5">$B7*C$11</f>
        <v>4</v>
      </c>
      <c r="D7" s="22">
        <f t="shared" si="5"/>
        <v>8</v>
      </c>
      <c r="E7" s="22">
        <f t="shared" si="5"/>
        <v>12</v>
      </c>
      <c r="F7" s="22">
        <f t="shared" si="5"/>
        <v>16</v>
      </c>
      <c r="G7" s="22">
        <f t="shared" si="5"/>
        <v>20</v>
      </c>
      <c r="H7" s="72"/>
      <c r="I7" s="22"/>
      <c r="J7" s="67">
        <f t="shared" si="6"/>
        <v>4</v>
      </c>
      <c r="K7" s="22">
        <f t="shared" ref="K7:O7" si="7">$J7*K$11*K$5*$P7</f>
        <v>16</v>
      </c>
      <c r="L7" s="22">
        <f t="shared" si="7"/>
        <v>64</v>
      </c>
      <c r="M7" s="22">
        <f t="shared" si="7"/>
        <v>144</v>
      </c>
      <c r="N7" s="22">
        <f t="shared" si="7"/>
        <v>256</v>
      </c>
      <c r="O7" s="22">
        <f t="shared" si="7"/>
        <v>400</v>
      </c>
      <c r="P7" s="67">
        <f t="shared" si="8"/>
        <v>4</v>
      </c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67">
        <f t="shared" si="4"/>
        <v>3</v>
      </c>
      <c r="C8" s="22">
        <f t="shared" ref="C8:G8" si="9">$B8*C$11</f>
        <v>3</v>
      </c>
      <c r="D8" s="22">
        <f t="shared" si="9"/>
        <v>6</v>
      </c>
      <c r="E8" s="22">
        <f t="shared" si="9"/>
        <v>9</v>
      </c>
      <c r="F8" s="22">
        <f t="shared" si="9"/>
        <v>12</v>
      </c>
      <c r="G8" s="22">
        <f t="shared" si="9"/>
        <v>15</v>
      </c>
      <c r="H8" s="72"/>
      <c r="I8" s="22"/>
      <c r="J8" s="67">
        <f t="shared" si="6"/>
        <v>3</v>
      </c>
      <c r="K8" s="22">
        <f t="shared" ref="K8:O8" si="10">$J8*K$11*K$5*$P8</f>
        <v>9</v>
      </c>
      <c r="L8" s="22">
        <f t="shared" si="10"/>
        <v>36</v>
      </c>
      <c r="M8" s="22">
        <f t="shared" si="10"/>
        <v>81</v>
      </c>
      <c r="N8" s="22">
        <f t="shared" si="10"/>
        <v>144</v>
      </c>
      <c r="O8" s="22">
        <f t="shared" si="10"/>
        <v>225</v>
      </c>
      <c r="P8" s="67">
        <f t="shared" si="8"/>
        <v>3</v>
      </c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67">
        <f t="shared" si="4"/>
        <v>2</v>
      </c>
      <c r="C9" s="22">
        <f t="shared" ref="C9:G9" si="11">$B9*C$11</f>
        <v>2</v>
      </c>
      <c r="D9" s="22">
        <f t="shared" si="11"/>
        <v>4</v>
      </c>
      <c r="E9" s="22">
        <f t="shared" si="11"/>
        <v>6</v>
      </c>
      <c r="F9" s="22">
        <f t="shared" si="11"/>
        <v>8</v>
      </c>
      <c r="G9" s="22">
        <f t="shared" si="11"/>
        <v>10</v>
      </c>
      <c r="H9" s="72"/>
      <c r="I9" s="22"/>
      <c r="J9" s="67">
        <f t="shared" si="6"/>
        <v>2</v>
      </c>
      <c r="K9" s="22">
        <f t="shared" ref="K9:O9" si="12">$J9*K$11*K$5*$P9</f>
        <v>4</v>
      </c>
      <c r="L9" s="22">
        <f t="shared" si="12"/>
        <v>16</v>
      </c>
      <c r="M9" s="22">
        <f t="shared" si="12"/>
        <v>36</v>
      </c>
      <c r="N9" s="22">
        <f t="shared" si="12"/>
        <v>64</v>
      </c>
      <c r="O9" s="22">
        <f t="shared" si="12"/>
        <v>100</v>
      </c>
      <c r="P9" s="67">
        <f t="shared" si="8"/>
        <v>2</v>
      </c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67">
        <v>1.0</v>
      </c>
      <c r="C10" s="22">
        <f t="shared" ref="C10:G10" si="13">$B10*C$11</f>
        <v>1</v>
      </c>
      <c r="D10" s="22">
        <f t="shared" si="13"/>
        <v>2</v>
      </c>
      <c r="E10" s="22">
        <f t="shared" si="13"/>
        <v>3</v>
      </c>
      <c r="F10" s="22">
        <f t="shared" si="13"/>
        <v>4</v>
      </c>
      <c r="G10" s="22">
        <f t="shared" si="13"/>
        <v>5</v>
      </c>
      <c r="H10" s="72"/>
      <c r="I10" s="22"/>
      <c r="J10" s="67">
        <v>1.0</v>
      </c>
      <c r="K10" s="22">
        <f t="shared" ref="K10:O10" si="14">$J10*K$11*K$5*$P10</f>
        <v>1</v>
      </c>
      <c r="L10" s="22">
        <f t="shared" si="14"/>
        <v>4</v>
      </c>
      <c r="M10" s="22">
        <f t="shared" si="14"/>
        <v>9</v>
      </c>
      <c r="N10" s="22">
        <f t="shared" si="14"/>
        <v>16</v>
      </c>
      <c r="O10" s="22">
        <f t="shared" si="14"/>
        <v>25</v>
      </c>
      <c r="P10" s="67">
        <v>1.0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67">
        <v>1.0</v>
      </c>
      <c r="D11" s="67">
        <f t="shared" ref="D11:G11" si="15">C11+1</f>
        <v>2</v>
      </c>
      <c r="E11" s="67">
        <f t="shared" si="15"/>
        <v>3</v>
      </c>
      <c r="F11" s="67">
        <f t="shared" si="15"/>
        <v>4</v>
      </c>
      <c r="G11" s="67">
        <f t="shared" si="15"/>
        <v>5</v>
      </c>
      <c r="H11" s="22"/>
      <c r="I11" s="22"/>
      <c r="J11" s="22"/>
      <c r="K11" s="67">
        <v>1.0</v>
      </c>
      <c r="L11" s="67">
        <f t="shared" ref="L11:O11" si="16">K11+1</f>
        <v>2</v>
      </c>
      <c r="M11" s="67">
        <f t="shared" si="16"/>
        <v>3</v>
      </c>
      <c r="N11" s="67">
        <f t="shared" si="16"/>
        <v>4</v>
      </c>
      <c r="O11" s="67">
        <f t="shared" si="16"/>
        <v>5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68" t="s">
        <v>85</v>
      </c>
      <c r="D12" s="29"/>
      <c r="E12" s="29"/>
      <c r="F12" s="29"/>
      <c r="G12" s="30"/>
      <c r="H12" s="22"/>
      <c r="I12" s="22"/>
      <c r="J12" s="22"/>
      <c r="K12" s="68" t="s">
        <v>86</v>
      </c>
      <c r="L12" s="29"/>
      <c r="M12" s="29"/>
      <c r="N12" s="29"/>
      <c r="O12" s="30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4">
    <mergeCell ref="C4:G4"/>
    <mergeCell ref="K4:O4"/>
    <mergeCell ref="C12:G12"/>
    <mergeCell ref="K12:O12"/>
  </mergeCells>
  <conditionalFormatting sqref="C6:G10">
    <cfRule type="cellIs" dxfId="0" priority="1" stopIfTrue="1" operator="greaterThanOrEqual">
      <formula>16</formula>
    </cfRule>
  </conditionalFormatting>
  <conditionalFormatting sqref="C6:G10">
    <cfRule type="cellIs" dxfId="1" priority="2" stopIfTrue="1" operator="lessThan">
      <formula>5</formula>
    </cfRule>
  </conditionalFormatting>
  <conditionalFormatting sqref="C6:G10">
    <cfRule type="cellIs" dxfId="2" priority="3" stopIfTrue="1" operator="lessThan">
      <formula>16</formula>
    </cfRule>
  </conditionalFormatting>
  <conditionalFormatting sqref="K6:O10">
    <cfRule type="cellIs" dxfId="0" priority="4" stopIfTrue="1" operator="greaterThanOrEqual">
      <formula>125</formula>
    </cfRule>
  </conditionalFormatting>
  <conditionalFormatting sqref="K6:O10">
    <cfRule type="cellIs" dxfId="1" priority="5" stopIfTrue="1" operator="lessThan">
      <formula>25</formula>
    </cfRule>
  </conditionalFormatting>
  <conditionalFormatting sqref="K6:O10">
    <cfRule type="cellIs" dxfId="2" priority="6" stopIfTrue="1" operator="lessThan">
      <formula>125</formula>
    </cfRule>
  </conditionalFormatting>
  <printOptions/>
  <pageMargins bottom="0.7874015748031497" footer="0.0" header="0.0" left="0.2362204724409449" right="0.31496062992125984" top="0.5905511811023623"/>
  <pageSetup paperSize="9" orientation="landscape"/>
  <headerFooter>
    <oddHeader>&amp;LRegistro e plano de gerenciamento das partes interessadas&amp;R&amp;A</oddHeader>
    <oddFooter>&amp;L&amp;F Escritório de Projetos&amp;RPágina &amp;P de  http://escritoriodeprojetos.com.br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9.13"/>
    <col customWidth="1" min="3" max="3" width="33.13"/>
    <col customWidth="1" min="4" max="4" width="17.5"/>
    <col customWidth="1" min="5" max="5" width="14.63"/>
    <col customWidth="1" min="6" max="6" width="11.13"/>
    <col customWidth="1" min="7" max="26" width="9.13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2"/>
      <c r="B2" s="73" t="s">
        <v>87</v>
      </c>
      <c r="C2" s="74"/>
      <c r="D2" s="74"/>
      <c r="E2" s="74"/>
      <c r="F2" s="74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53"/>
      <c r="B3" s="75" t="s">
        <v>88</v>
      </c>
      <c r="C3" s="76" t="s">
        <v>31</v>
      </c>
      <c r="D3" s="76" t="s">
        <v>30</v>
      </c>
      <c r="E3" s="76" t="s">
        <v>83</v>
      </c>
      <c r="F3" s="76" t="s">
        <v>85</v>
      </c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22"/>
      <c r="B4" s="77" t="s">
        <v>89</v>
      </c>
      <c r="C4" s="78" t="s">
        <v>90</v>
      </c>
      <c r="D4" s="79" t="s">
        <v>91</v>
      </c>
      <c r="E4" s="78" t="s">
        <v>92</v>
      </c>
      <c r="F4" s="78" t="s">
        <v>93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80" t="s">
        <v>94</v>
      </c>
      <c r="C5" s="77"/>
      <c r="D5" s="81"/>
      <c r="E5" s="77" t="s">
        <v>95</v>
      </c>
      <c r="F5" s="77" t="s">
        <v>95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72"/>
      <c r="C6" s="82"/>
      <c r="D6" s="22"/>
      <c r="E6" s="82" t="s">
        <v>77</v>
      </c>
      <c r="F6" s="82" t="s">
        <v>77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72"/>
      <c r="C7" s="82"/>
      <c r="D7" s="22"/>
      <c r="E7" s="82" t="s">
        <v>63</v>
      </c>
      <c r="F7" s="82" t="s">
        <v>63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2"/>
      <c r="B8" s="72"/>
      <c r="C8" s="82"/>
      <c r="D8" s="22"/>
      <c r="E8" s="82" t="s">
        <v>56</v>
      </c>
      <c r="F8" s="82" t="s">
        <v>56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2"/>
      <c r="B9" s="83"/>
      <c r="C9" s="84"/>
      <c r="D9" s="70"/>
      <c r="E9" s="84" t="s">
        <v>49</v>
      </c>
      <c r="F9" s="84" t="s">
        <v>49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">
    <mergeCell ref="B2:F2"/>
  </mergeCells>
  <printOptions/>
  <pageMargins bottom="0.7874015748031497" footer="0.0" header="0.0" left="0.2362204724409449" right="0.31496062992125984" top="0.5905511811023623"/>
  <pageSetup paperSize="9" orientation="landscape"/>
  <headerFooter>
    <oddHeader>&amp;LRegistro e plano de gerenciamento das partes interessadas&amp;R&amp;A</oddHeader>
    <oddFooter>&amp;L&amp;F Escritório de Projetos&amp;RPágina &amp;P de  http://escritoriodeprojetos.com.br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2006-01-18T20:16:06Z</dcterms:created>
  <dc:creator>eduardo@escritoriodeprojetos.com.br</dc:creator>
</cp:coreProperties>
</file>